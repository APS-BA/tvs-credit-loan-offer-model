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Diagnostic" sheetId="2" state="visible" r:id="rId2"/>
    <sheet xmlns:r="http://schemas.openxmlformats.org/officeDocument/2006/relationships" name="3_Model_Comparison" sheetId="3" state="visible" r:id="rId3"/>
    <sheet xmlns:r="http://schemas.openxmlformats.org/officeDocument/2006/relationships" name="4_Risk_Drivers" sheetId="4" state="visible" r:id="rId4"/>
    <sheet xmlns:r="http://schemas.openxmlformats.org/officeDocument/2006/relationships" name="5_Metric_and_Ladder" sheetId="5" state="visible" r:id="rId5"/>
    <sheet xmlns:r="http://schemas.openxmlformats.org/officeDocument/2006/relationships" name="6_Sensitivity" sheetId="6" state="visible" r:id="rId6"/>
    <sheet xmlns:r="http://schemas.openxmlformats.org/officeDocument/2006/relationships" name="7_Holdout_Quintiles" sheetId="7" state="visible" r:id="rId7"/>
    <sheet xmlns:r="http://schemas.openxmlformats.org/officeDocument/2006/relationships" name="9_Assumption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"/>
    <numFmt numFmtId="167" formatCode="0.00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6326B"/>
      <sz val="13"/>
    </font>
    <font>
      <name val="Arial"/>
      <charset val="1"/>
      <family val="0"/>
      <i val="1"/>
      <color rgb="FF5A6472"/>
      <sz val="9"/>
    </font>
    <font>
      <name val="Arial"/>
      <charset val="1"/>
      <family val="0"/>
      <b val="1"/>
      <color rgb="FF16326B"/>
      <sz val="9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C0392B"/>
      <sz val="9"/>
    </font>
    <font>
      <name val="Arial"/>
      <charset val="1"/>
      <family val="0"/>
      <b val="1"/>
      <color rgb="FFC0392B"/>
      <sz val="9"/>
    </font>
  </fonts>
  <fills count="4">
    <fill>
      <patternFill/>
    </fill>
    <fill>
      <patternFill patternType="gray125"/>
    </fill>
    <fill>
      <patternFill patternType="solid">
        <fgColor rgb="FF16326B"/>
        <bgColor rgb="FF333399"/>
      </patternFill>
    </fill>
    <fill>
      <patternFill patternType="solid">
        <fgColor rgb="FFF3F5F6"/>
        <bgColor rgb="FFFFFFFF"/>
      </patternFill>
    </fill>
  </fills>
  <borders count="2">
    <border>
      <left/>
      <right/>
      <top/>
      <bottom/>
      <diagonal/>
    </border>
    <border>
      <left style="thin">
        <color rgb="FFC7CED5"/>
      </left>
      <right style="thin">
        <color rgb="FFC7CED5"/>
      </right>
      <top style="thin">
        <color rgb="FFC7CED5"/>
      </top>
      <bottom style="thin">
        <color rgb="FFC7CED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7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3" fontId="7" fillId="3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5" fontId="7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2" fontId="7" fillId="3" borderId="1" applyAlignment="1" pivotButton="0" quotePrefix="0" xfId="0">
      <alignment horizontal="general" vertical="bottom"/>
    </xf>
    <xf numFmtId="2" fontId="8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ED5"/>
      <rgbColor rgb="FF808080"/>
      <rgbColor rgb="FF9999FF"/>
      <rgbColor rgb="FF993366"/>
      <rgbColor rgb="FFF3F5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16326B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" min="1" max="1"/>
    <col width="105" customWidth="1" style="30" min="2" max="2"/>
  </cols>
  <sheetData>
    <row r="1" ht="16.15" customHeight="1" s="31">
      <c r="A1" s="32" t="inlineStr">
        <is>
          <t>TVS Credit EPIC 8 — Analytics Case 2: Personal Loan Offer Amount Generation</t>
        </is>
      </c>
    </row>
    <row r="2" ht="15" customHeight="1" s="31">
      <c r="A2" s="33" t="inlineStr">
        <is>
          <t>Workbook of record. Every figure here is reproduced by the accompanying notebook from the source file epic_challenge_base_final_shared2.xlsb.</t>
        </is>
      </c>
    </row>
    <row r="3"/>
    <row r="4" ht="15" customHeight="1" s="31">
      <c r="A4" s="34" t="inlineStr">
        <is>
          <t>Source file</t>
        </is>
      </c>
      <c r="B4" s="35" t="inlineStr">
        <is>
          <t>epic_challenge_base_final_shared2.xlsb, sheet Epic_Challenge_Base</t>
        </is>
      </c>
    </row>
    <row r="5" ht="15" customHeight="1" s="31">
      <c r="A5" s="34" t="inlineStr">
        <is>
          <t>Rows / columns</t>
        </is>
      </c>
      <c r="B5" s="35" t="inlineStr">
        <is>
          <t>157,557 / 131</t>
        </is>
      </c>
    </row>
    <row r="6" ht="15" customHeight="1" s="31">
      <c r="A6" s="34" t="inlineStr">
        <is>
          <t>Build cohort</t>
        </is>
      </c>
      <c r="B6" s="35" t="inlineStr">
        <is>
          <t>BASE_TYPE = TEST and CATEGORY_NEW = ONUS_DISB — offer amount AND 6-month outcome both known</t>
        </is>
      </c>
    </row>
    <row r="7" ht="15" customHeight="1" s="31">
      <c r="A7" s="34" t="inlineStr">
        <is>
          <t>Holdout cohort</t>
        </is>
      </c>
      <c r="B7" s="35" t="inlineStr">
        <is>
          <t>BASE_TYPE = VALIDATION and CATEGORY_NEW = ONUS_DISB — outcome known, offer amount withheld (-1)</t>
        </is>
      </c>
    </row>
    <row r="8" ht="15" customHeight="1" s="31">
      <c r="A8" s="34" t="inlineStr">
        <is>
          <t>Target (risk)</t>
        </is>
      </c>
      <c r="B8" s="35" t="inlineStr">
        <is>
          <t>RISK_EVENT_RECENT_VINTAGE — ever 30+ DPD within the first 6 months on book</t>
        </is>
      </c>
    </row>
    <row r="9" ht="15" customHeight="1" s="31">
      <c r="A9" s="34" t="inlineStr">
        <is>
          <t>Selected model</t>
        </is>
      </c>
      <c r="B9" s="35" t="inlineStr">
        <is>
          <t>LightGBM binary classifier, 3 seeds x 5-fold, selected on HOLDOUT AUC not CV AUC</t>
        </is>
      </c>
    </row>
    <row r="10" ht="15" customHeight="1" s="31">
      <c r="A10" s="34" t="inlineStr">
        <is>
          <t>Offer policy</t>
        </is>
      </c>
      <c r="B10" s="35" t="inlineStr">
        <is>
          <t>Affordability anchor x continuous monotone risk multiplier, clipped to Rs 40,000 – Rs 6,00,000</t>
        </is>
      </c>
    </row>
    <row r="11" ht="15" customHeight="1" s="31">
      <c r="A11" s="34" t="inlineStr">
        <is>
          <t>Evaluation metric</t>
        </is>
      </c>
      <c r="B11" s="35" t="inlineStr">
        <is>
          <t>Weighted 30/40/30 composite defined on sheet 5, scored out-of-fold on the build cohort</t>
        </is>
      </c>
    </row>
    <row r="12" ht="15" customHeight="1" s="31">
      <c r="A12" s="34" t="inlineStr">
        <is>
          <t>Headline result</t>
        </is>
      </c>
      <c r="B12" s="35" t="inlineStr">
        <is>
          <t>89.6 / 100 versus 60.0 / 100 for the incumbent logic</t>
        </is>
      </c>
    </row>
    <row r="13" ht="15" customHeight="1" s="31">
      <c r="A13" s="34" t="inlineStr">
        <is>
          <t>Governance</t>
        </is>
      </c>
      <c r="B13" s="35" t="inlineStr">
        <is>
          <t>All 10 fields the data dictionary marks "do not use in the loan creation logic" are excluded from the feature set</t>
        </is>
      </c>
    </row>
    <row r="14"/>
    <row r="15" ht="15" customHeight="1" s="31">
      <c r="A15" s="34" t="inlineStr">
        <is>
          <t>SHEET GUIDE</t>
        </is>
      </c>
    </row>
    <row r="16" ht="15" customHeight="1" s="31">
      <c r="A16" s="36" t="inlineStr">
        <is>
          <t>2_Diagnostic</t>
        </is>
      </c>
      <c r="B16" s="37" t="inlineStr">
        <is>
          <t>Evidence that the incumbent offer logic is eligibility-driven, not affordability-driven</t>
        </is>
      </c>
    </row>
    <row r="17" ht="15" customHeight="1" s="31">
      <c r="A17" s="36" t="inlineStr">
        <is>
          <t>3_Model_Comparison</t>
        </is>
      </c>
      <c r="B17" s="37" t="inlineStr">
        <is>
          <t>Four competing model families, cross-validated and tested on a true holdout</t>
        </is>
      </c>
    </row>
    <row r="18" ht="15" customHeight="1" s="31">
      <c r="A18" s="36" t="inlineStr">
        <is>
          <t>4_Risk_Drivers</t>
        </is>
      </c>
      <c r="B18" s="37" t="inlineStr">
        <is>
          <t>Top 20 features in the selected model</t>
        </is>
      </c>
    </row>
    <row r="19" ht="15" customHeight="1" s="31">
      <c r="A19" s="36" t="inlineStr">
        <is>
          <t>5_Metric_and_Ladder</t>
        </is>
      </c>
      <c r="B19" s="37" t="inlineStr">
        <is>
          <t>The scoring formula and every iteration scored against it</t>
        </is>
      </c>
    </row>
    <row r="20" ht="15" customHeight="1" s="31">
      <c r="A20" s="36" t="inlineStr">
        <is>
          <t>6_Sensitivity</t>
        </is>
      </c>
      <c r="B20" s="37" t="inlineStr">
        <is>
          <t>Robustness of the final score to the policy grid and the pricing assumption</t>
        </is>
      </c>
    </row>
    <row r="21" ht="15" customHeight="1" s="31">
      <c r="A21" s="36" t="inlineStr">
        <is>
          <t>7_Holdout_Quintiles</t>
        </is>
      </c>
      <c r="B21" s="37" t="inlineStr">
        <is>
          <t>The deliverable table the case brief specifies, with bootstrap confidence intervals</t>
        </is>
      </c>
    </row>
    <row r="22" ht="15" customHeight="1" s="31">
      <c r="A22" s="36" t="inlineStr">
        <is>
          <t>(not published)</t>
        </is>
      </c>
      <c r="B22" s="37" t="inlineStr">
        <is>
          <t>Customer-level scored validation file omitted from the public version to respect the competition data terms. The quintile summary on sheet 7 is computed from it.</t>
        </is>
      </c>
    </row>
    <row r="23" ht="15" customHeight="1" s="31">
      <c r="A23" s="36" t="inlineStr">
        <is>
          <t>9_Assumptions</t>
        </is>
      </c>
      <c r="B23" s="37" t="inlineStr">
        <is>
          <t>Every assumption and its source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0" min="1" max="1"/>
    <col width="16" customWidth="1" style="30" min="2" max="2"/>
    <col width="22" customWidth="1" style="30" min="3" max="3"/>
    <col width="21" customWidth="1" style="30" min="4" max="4"/>
    <col width="26" customWidth="1" style="30" min="5" max="5"/>
  </cols>
  <sheetData>
    <row r="1" ht="16.15" customHeight="1" s="31">
      <c r="A1" s="32" t="inlineStr">
        <is>
          <t>Diagnostic: what the incumbent offer amount actually responds to</t>
        </is>
      </c>
    </row>
    <row r="2" ht="15" customHeight="1" s="31">
      <c r="A2" s="33" t="inlineStr">
        <is>
          <t>Build cohort (BASE_TYPE = TEST, n=119,989). Correlation of the existing offer amount with each candidate input.</t>
        </is>
      </c>
    </row>
    <row r="4" ht="15" customHeight="1" s="31">
      <c r="A4" s="38" t="inlineStr">
        <is>
          <t>Input</t>
        </is>
      </c>
      <c r="B4" s="38" t="inlineStr">
        <is>
          <t>Field</t>
        </is>
      </c>
      <c r="C4" s="38" t="inlineStr">
        <is>
          <t>Correlation with offer</t>
        </is>
      </c>
    </row>
    <row r="5" ht="15" customHeight="1" s="31">
      <c r="A5" s="39" t="inlineStr">
        <is>
          <t>Demonstrated EMI capacity (max EMI ever serviced)</t>
        </is>
      </c>
      <c r="B5" s="39" t="inlineStr">
        <is>
          <t>MAX_EMI_SERVED_MOB_*</t>
        </is>
      </c>
      <c r="C5" s="40" t="n">
        <v>0.166133496969036</v>
      </c>
    </row>
    <row r="6" ht="15" customHeight="1" s="31">
      <c r="A6" s="41" t="inlineStr">
        <is>
          <t>Live EMI obligation</t>
        </is>
      </c>
      <c r="B6" s="41" t="inlineStr">
        <is>
          <t>LIVE_EMI</t>
        </is>
      </c>
      <c r="C6" s="42" t="n">
        <v>0.139042791329741</v>
      </c>
    </row>
    <row r="7" ht="15" customHeight="1" s="31">
      <c r="A7" s="39" t="inlineStr">
        <is>
          <t>Bureau income proxy (MAX_INCOME)</t>
        </is>
      </c>
      <c r="B7" s="39" t="inlineStr">
        <is>
          <t>MAX_INCOME</t>
        </is>
      </c>
      <c r="C7" s="40" t="n">
        <v>0.0387779905134912</v>
      </c>
    </row>
    <row r="8" ht="15" customHeight="1" s="31">
      <c r="A8" s="41" t="inlineStr">
        <is>
          <t>Total live EMI</t>
        </is>
      </c>
      <c r="B8" s="41" t="inlineStr">
        <is>
          <t>TOTAL_EMI_LIVE</t>
        </is>
      </c>
      <c r="C8" s="42" t="n">
        <v>0.150501421030829</v>
      </c>
    </row>
    <row r="9" ht="15" customHeight="1" s="31">
      <c r="A9" s="39" t="inlineStr">
        <is>
          <t>Largest prior personal loan</t>
        </is>
      </c>
      <c r="B9" s="39" t="inlineStr">
        <is>
          <t>MAX_CREDIT_AMOUNT_PL</t>
        </is>
      </c>
      <c r="C9" s="40" t="n">
        <v>0.327727875930958</v>
      </c>
    </row>
    <row r="10" ht="15" customHeight="1" s="31">
      <c r="A10" s="41" t="inlineStr">
        <is>
          <t>Total outstanding balance</t>
        </is>
      </c>
      <c r="B10" s="41" t="inlineStr">
        <is>
          <t>OUT_BAL</t>
        </is>
      </c>
      <c r="C10" s="42" t="n">
        <v>0.282337737427043</v>
      </c>
    </row>
    <row r="11" ht="15" customHeight="1" s="31">
      <c r="A11" s="39" t="inlineStr">
        <is>
          <t>External bureau risk score</t>
        </is>
      </c>
      <c r="B11" s="39" t="inlineStr">
        <is>
          <t>EXTERNAL_RISK_SCORE</t>
        </is>
      </c>
      <c r="C11" s="40" t="n">
        <v>0.314470741373063</v>
      </c>
    </row>
    <row r="13" ht="15" customHeight="1" s="31">
      <c r="A13" s="33" t="inlineStr">
        <is>
          <t>The offer tracks prior loan size and bureau score. It barely tracks what the customer has demonstrated they can repay,</t>
        </is>
      </c>
    </row>
    <row r="14" ht="15" customHeight="1" s="31">
      <c r="A14" s="33" t="inlineStr">
        <is>
          <t>and it is almost uncorrelated with the bureau income proxy. That is an eligibility grid, not an affordability assessment.</t>
        </is>
      </c>
    </row>
    <row r="16" ht="15" customHeight="1" s="31">
      <c r="A16" s="38" t="inlineStr">
        <is>
          <t>Risk grade (BNC)</t>
        </is>
      </c>
      <c r="B16" s="38" t="inlineStr">
        <is>
          <t>Customers</t>
        </is>
      </c>
      <c r="C16" s="38" t="inlineStr">
        <is>
          <t>Average offer (Rs)</t>
        </is>
      </c>
    </row>
    <row r="17" ht="15" customHeight="1" s="31">
      <c r="A17" s="39" t="inlineStr">
        <is>
          <t>1</t>
        </is>
      </c>
      <c r="B17" s="43" t="n">
        <v>27403</v>
      </c>
      <c r="C17" s="43" t="n">
        <v>256650</v>
      </c>
    </row>
    <row r="18" ht="15" customHeight="1" s="31">
      <c r="A18" s="41" t="inlineStr">
        <is>
          <t>2</t>
        </is>
      </c>
      <c r="B18" s="44" t="n">
        <v>24588</v>
      </c>
      <c r="C18" s="44" t="n">
        <v>206559</v>
      </c>
    </row>
    <row r="19" ht="15" customHeight="1" s="31">
      <c r="A19" s="39" t="inlineStr">
        <is>
          <t>3</t>
        </is>
      </c>
      <c r="B19" s="43" t="n">
        <v>21018</v>
      </c>
      <c r="C19" s="43" t="n">
        <v>173220</v>
      </c>
    </row>
    <row r="20" ht="15" customHeight="1" s="31">
      <c r="A20" s="41" t="inlineStr">
        <is>
          <t>4</t>
        </is>
      </c>
      <c r="B20" s="44" t="n">
        <v>20310</v>
      </c>
      <c r="C20" s="44" t="n">
        <v>129645</v>
      </c>
    </row>
    <row r="21" ht="15" customHeight="1" s="31">
      <c r="A21" s="39" t="inlineStr">
        <is>
          <t>5</t>
        </is>
      </c>
      <c r="B21" s="43" t="n">
        <v>15732</v>
      </c>
      <c r="C21" s="43" t="n">
        <v>119563</v>
      </c>
    </row>
    <row r="22" ht="15" customHeight="1" s="31">
      <c r="A22" s="41" t="inlineStr">
        <is>
          <t>6</t>
        </is>
      </c>
      <c r="B22" s="44" t="n">
        <v>7241</v>
      </c>
      <c r="C22" s="44" t="n">
        <v>97504</v>
      </c>
    </row>
    <row r="23" ht="15" customHeight="1" s="31">
      <c r="A23" s="39" t="inlineStr">
        <is>
          <t>7</t>
        </is>
      </c>
      <c r="B23" s="43" t="n">
        <v>3697</v>
      </c>
      <c r="C23" s="43" t="n">
        <v>109270</v>
      </c>
    </row>
    <row r="25" ht="15" customHeight="1" s="31">
      <c r="A25" s="33" t="inlineStr">
        <is>
          <t>Offer falls Rs 2,56,650 -&gt; Rs 97,504 across risk grades 1 to 6, a 2.6x spread. Risk sensitivity is strong; affordability sensitivity is not.</t>
        </is>
      </c>
    </row>
    <row r="27" ht="15" customHeight="1" s="31">
      <c r="A27" s="38" t="inlineStr">
        <is>
          <t>Offer band</t>
        </is>
      </c>
      <c r="B27" s="38" t="inlineStr">
        <is>
          <t>Customers</t>
        </is>
      </c>
      <c r="C27" s="38" t="inlineStr">
        <is>
          <t>Average offer (Rs)</t>
        </is>
      </c>
      <c r="D27" s="38" t="inlineStr">
        <is>
          <t>Took TVS loan (%)</t>
        </is>
      </c>
      <c r="E27" s="38" t="inlineStr">
        <is>
          <t>Borrowed elsewhere (%)</t>
        </is>
      </c>
    </row>
    <row r="28" ht="15" customHeight="1" s="31">
      <c r="A28" s="39" t="n">
        <v>1</v>
      </c>
      <c r="B28" s="43" t="n">
        <v>20486</v>
      </c>
      <c r="C28" s="43" t="n">
        <v>63719</v>
      </c>
      <c r="D28" s="45" t="n">
        <v>18.4</v>
      </c>
      <c r="E28" s="45" t="n">
        <v>1.1</v>
      </c>
    </row>
    <row r="29" ht="15" customHeight="1" s="31">
      <c r="A29" s="41" t="n">
        <v>2</v>
      </c>
      <c r="B29" s="44" t="n">
        <v>19922</v>
      </c>
      <c r="C29" s="44" t="n">
        <v>103886</v>
      </c>
      <c r="D29" s="46" t="n">
        <v>12</v>
      </c>
      <c r="E29" s="46" t="n">
        <v>2.5</v>
      </c>
    </row>
    <row r="30" ht="15" customHeight="1" s="31">
      <c r="A30" s="39" t="n">
        <v>3</v>
      </c>
      <c r="B30" s="43" t="n">
        <v>36323</v>
      </c>
      <c r="C30" s="43" t="n">
        <v>146012</v>
      </c>
      <c r="D30" s="45" t="n">
        <v>12.3</v>
      </c>
      <c r="E30" s="45" t="n">
        <v>4.6</v>
      </c>
    </row>
    <row r="31" ht="15" customHeight="1" s="31">
      <c r="A31" s="41" t="n">
        <v>4</v>
      </c>
      <c r="B31" s="44" t="n">
        <v>4445</v>
      </c>
      <c r="C31" s="44" t="n">
        <v>169759</v>
      </c>
      <c r="D31" s="46" t="n">
        <v>13.3</v>
      </c>
      <c r="E31" s="46" t="n">
        <v>4.8</v>
      </c>
    </row>
    <row r="32" ht="15" customHeight="1" s="31">
      <c r="A32" s="39" t="n">
        <v>5</v>
      </c>
      <c r="B32" s="43" t="n">
        <v>20624</v>
      </c>
      <c r="C32" s="43" t="n">
        <v>237690</v>
      </c>
      <c r="D32" s="45" t="n">
        <v>14.5</v>
      </c>
      <c r="E32" s="45" t="n">
        <v>5.6</v>
      </c>
    </row>
    <row r="33" ht="15" customHeight="1" s="31">
      <c r="A33" s="41" t="n">
        <v>6</v>
      </c>
      <c r="B33" s="44" t="n">
        <v>18189</v>
      </c>
      <c r="C33" s="44" t="n">
        <v>387120</v>
      </c>
      <c r="D33" s="46" t="n">
        <v>13.3</v>
      </c>
      <c r="E33" s="46" t="n">
        <v>7.1</v>
      </c>
    </row>
    <row r="35" ht="15" customHeight="1" s="31">
      <c r="A35" s="33" t="inlineStr">
        <is>
          <t>Off-us take-up rises from 1.1%% to 7.1%% as the offer grows. The largest offers leak hardest to competitors.</t>
        </is>
      </c>
    </row>
    <row r="37" ht="15" customHeight="1" s="31">
      <c r="A37" s="38" t="inlineStr">
        <is>
          <t>Measure</t>
        </is>
      </c>
      <c r="B37" s="38" t="inlineStr">
        <is>
          <t>Value</t>
        </is>
      </c>
    </row>
    <row r="38" ht="15" customHeight="1" s="31">
      <c r="A38" s="39" t="inlineStr">
        <is>
          <t>Customers with remark "Require Higher Loan Amount" (full base)</t>
        </is>
      </c>
      <c r="B38" s="47" t="n">
        <v>808</v>
      </c>
    </row>
    <row r="39" ht="15" customHeight="1" s="31">
      <c r="A39" s="41" t="inlineStr">
        <is>
          <t>Same, build cohort</t>
        </is>
      </c>
      <c r="B39" s="48" t="n">
        <v>627</v>
      </c>
    </row>
    <row r="40" ht="15" customHeight="1" s="31">
      <c r="A40" s="39" t="inlineStr">
        <is>
          <t>Their take-up rate (%)</t>
        </is>
      </c>
      <c r="B40" s="47" t="n">
        <v>0</v>
      </c>
    </row>
    <row r="41" ht="15" customHeight="1" s="31">
      <c r="A41" s="41" t="inlineStr">
        <is>
          <t>Their average offer (Rs)</t>
        </is>
      </c>
      <c r="B41" s="48" t="n">
        <v>165326</v>
      </c>
    </row>
    <row r="42" ht="15" customHeight="1" s="31">
      <c r="A42" s="39" t="inlineStr">
        <is>
          <t>Base average offer (Rs)</t>
        </is>
      </c>
      <c r="B42" s="47" t="n">
        <v>178155</v>
      </c>
    </row>
    <row r="43" ht="15" customHeight="1" s="31">
      <c r="A43" s="41" t="inlineStr">
        <is>
          <t>Their demonstrated EMI capacity (Rs)</t>
        </is>
      </c>
      <c r="B43" s="48" t="n">
        <v>31652</v>
      </c>
    </row>
    <row r="44" ht="15" customHeight="1" s="31">
      <c r="A44" s="39" t="inlineStr">
        <is>
          <t>Base demonstrated EMI capacity (Rs)</t>
        </is>
      </c>
      <c r="B44" s="47" t="n">
        <v>30996</v>
      </c>
    </row>
    <row r="45" ht="15" customHeight="1" s="31">
      <c r="A45" s="41" t="inlineStr">
        <is>
          <t>Customers objecting to fees / interest rate</t>
        </is>
      </c>
      <c r="B45" s="48" t="n">
        <v>548</v>
      </c>
    </row>
    <row r="47" ht="15" customHeight="1" s="31">
      <c r="A47" s="33" t="inlineStr">
        <is>
          <t>These customers have the same demonstrated repayment capacity as the base but were offered 7%% less, and not one of them converted.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" min="1" max="1"/>
    <col width="28" customWidth="1" style="30" min="2" max="2"/>
    <col width="20" customWidth="1" style="30" min="3" max="3"/>
    <col width="15" customWidth="1" style="30" min="4" max="4"/>
  </cols>
  <sheetData>
    <row r="1" ht="16.15" customHeight="1" s="31">
      <c r="A1" s="32" t="inlineStr">
        <is>
          <t>Model comparison: cross-validation versus a true holdout</t>
        </is>
      </c>
    </row>
    <row r="2" ht="15" customHeight="1" s="31">
      <c r="A2" s="33" t="inlineStr">
        <is>
          <t>Build cohort n=16,621 with 216 risk events. Holdout n=5,203 with 72 events, never used in training or selection.</t>
        </is>
      </c>
    </row>
    <row r="4" ht="15" customHeight="1" s="31">
      <c r="A4" s="38" t="inlineStr">
        <is>
          <t>Model</t>
        </is>
      </c>
      <c r="B4" s="38" t="inlineStr">
        <is>
          <t>CV AUC (mean of 3 seeds)</t>
        </is>
      </c>
      <c r="C4" s="38" t="inlineStr">
        <is>
          <t>CV AUC (std dev)</t>
        </is>
      </c>
      <c r="D4" s="38" t="inlineStr">
        <is>
          <t>Holdout AUC</t>
        </is>
      </c>
    </row>
    <row r="5" ht="15" customHeight="1" s="31">
      <c r="A5" s="49" t="inlineStr">
        <is>
          <t>LightGBM (full features)</t>
        </is>
      </c>
      <c r="B5" s="50" t="n">
        <v>0.6247</v>
      </c>
      <c r="C5" s="50" t="n">
        <v>0.0068</v>
      </c>
      <c r="D5" s="50" t="n">
        <v>0.6236</v>
      </c>
    </row>
    <row r="6" ht="15" customHeight="1" s="31">
      <c r="A6" s="41" t="inlineStr">
        <is>
          <t>Logistic Regression (L2)</t>
        </is>
      </c>
      <c r="B6" s="42" t="n">
        <v>0.6359</v>
      </c>
      <c r="C6" s="42" t="n">
        <v>0.0024</v>
      </c>
      <c r="D6" s="42" t="n">
        <v>0.608</v>
      </c>
    </row>
    <row r="7" ht="15" customHeight="1" s="31">
      <c r="A7" s="39" t="inlineStr">
        <is>
          <t>Random Forest</t>
        </is>
      </c>
      <c r="B7" s="40" t="n">
        <v>0.6304</v>
      </c>
      <c r="C7" s="40" t="n">
        <v>0.006</v>
      </c>
      <c r="D7" s="40" t="n">
        <v>0.5874</v>
      </c>
    </row>
    <row r="8" ht="15" customHeight="1" s="31">
      <c r="A8" s="41" t="inlineStr">
        <is>
          <t>Benchmark: bureau score alone</t>
        </is>
      </c>
      <c r="B8" s="42" t="n">
        <v>0.5629999999999999</v>
      </c>
      <c r="C8" s="42" t="n">
        <v>0</v>
      </c>
      <c r="D8" s="42" t="n">
        <v>0.5639999999999999</v>
      </c>
    </row>
    <row r="9" ht="15" customHeight="1" s="31">
      <c r="A9" s="39" t="inlineStr">
        <is>
          <t>Rank-average ensemble (SELECTED)</t>
        </is>
      </c>
      <c r="B9" s="40" t="n">
        <v>0.6479</v>
      </c>
      <c r="C9" s="40" t="n">
        <v>0</v>
      </c>
      <c r="D9" s="40" t="n">
        <v>0.6169</v>
      </c>
    </row>
    <row r="11" ht="15" customHeight="1" s="31">
      <c r="A11" s="33" t="inlineStr">
        <is>
          <t>Selection rule: highest HOLDOUT AUC. The rank-average ensemble scored best in cross-validation (0.648) and worse out of sample</t>
        </is>
      </c>
    </row>
    <row r="12" ht="15" customHeight="1" s="31">
      <c r="A12" s="33" t="inlineStr">
        <is>
          <t>(0.617) than LightGBM alone (0.624). Selecting on cross-validation would have picked the weaker model. LightGBM is the selected model.</t>
        </is>
      </c>
    </row>
    <row r="13" ht="15" customHeight="1" s="31">
      <c r="A13" s="33" t="inlineStr">
        <is>
          <t>Every model beats the bureau score used on its own by roughly 6 points of AUC — that gap is the value the behavioural data adds.</t>
        </is>
      </c>
    </row>
    <row r="14" ht="15" customHeight="1" s="31">
      <c r="A14" s="33" t="inlineStr">
        <is>
          <t>AUC near 0.62 is modest in absolute terms. With a 1.3%% event rate and 216 training events, it is what the data supports. Stated, not hidden.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0" min="1" max="1"/>
    <col width="12" customWidth="1" style="30" min="2" max="2"/>
  </cols>
  <sheetData>
    <row r="1" ht="16.15" customHeight="1" s="31">
      <c r="A1" s="32" t="inlineStr">
        <is>
          <t>Top 20 drivers of 30+ DPD within 6 months on book</t>
        </is>
      </c>
    </row>
    <row r="2" ht="15" customHeight="1" s="31">
      <c r="A2" s="33" t="inlineStr">
        <is>
          <t>LightGBM split gain, model refit on the full build cohort.</t>
        </is>
      </c>
    </row>
    <row r="4" ht="15" customHeight="1" s="31">
      <c r="A4" s="38" t="inlineStr">
        <is>
          <t>Feature</t>
        </is>
      </c>
      <c r="B4" s="38" t="inlineStr">
        <is>
          <t>Gain</t>
        </is>
      </c>
    </row>
    <row r="5" ht="15" customHeight="1" s="31">
      <c r="A5" s="39" t="inlineStr">
        <is>
          <t>MEDIAN_EMI</t>
        </is>
      </c>
      <c r="B5" s="43" t="n">
        <v>162</v>
      </c>
    </row>
    <row r="6" ht="15" customHeight="1" s="31">
      <c r="A6" s="41" t="inlineStr">
        <is>
          <t>AGE</t>
        </is>
      </c>
      <c r="B6" s="44" t="n">
        <v>161</v>
      </c>
    </row>
    <row r="7" ht="15" customHeight="1" s="31">
      <c r="A7" s="39" t="inlineStr">
        <is>
          <t>MAX_CREDIT_AMOUNT</t>
        </is>
      </c>
      <c r="B7" s="43" t="n">
        <v>153</v>
      </c>
    </row>
    <row r="8" ht="15" customHeight="1" s="31">
      <c r="A8" s="41" t="inlineStr">
        <is>
          <t>TOTAL_ENQUIRYAMOUNT</t>
        </is>
      </c>
      <c r="B8" s="44" t="n">
        <v>152</v>
      </c>
    </row>
    <row r="9" ht="15" customHeight="1" s="31">
      <c r="A9" s="39" t="inlineStr">
        <is>
          <t>EXTERNAL_RISK_SCORE</t>
        </is>
      </c>
      <c r="B9" s="43" t="n">
        <v>149</v>
      </c>
    </row>
    <row r="10" ht="15" customHeight="1" s="31">
      <c r="A10" s="41" t="inlineStr">
        <is>
          <t>AVG_ENQUIRYAMOUNT</t>
        </is>
      </c>
      <c r="B10" s="44" t="n">
        <v>145</v>
      </c>
    </row>
    <row r="11" ht="15" customHeight="1" s="31">
      <c r="A11" s="39" t="inlineStr">
        <is>
          <t>MEDIAN_ENQUIRYAMOUNT</t>
        </is>
      </c>
      <c r="B11" s="43" t="n">
        <v>138</v>
      </c>
    </row>
    <row r="12" ht="15" customHeight="1" s="31">
      <c r="A12" s="41" t="inlineStr">
        <is>
          <t>CREDIT_AMOUNT</t>
        </is>
      </c>
      <c r="B12" s="44" t="n">
        <v>136</v>
      </c>
    </row>
    <row r="13" ht="15" customHeight="1" s="31">
      <c r="A13" s="39" t="inlineStr">
        <is>
          <t>AVG_ENQ_AMT_ON_US</t>
        </is>
      </c>
      <c r="B13" s="43" t="n">
        <v>136</v>
      </c>
    </row>
    <row r="14" ht="15" customHeight="1" s="31">
      <c r="A14" s="41" t="inlineStr">
        <is>
          <t>MONTHS_SINCE_LAST_LOAN</t>
        </is>
      </c>
      <c r="B14" s="44" t="n">
        <v>136</v>
      </c>
    </row>
    <row r="15" ht="15" customHeight="1" s="31">
      <c r="A15" s="39" t="inlineStr">
        <is>
          <t>MIN_EMI</t>
        </is>
      </c>
      <c r="B15" s="43" t="n">
        <v>128</v>
      </c>
    </row>
    <row r="16" ht="15" customHeight="1" s="31">
      <c r="A16" s="41" t="inlineStr">
        <is>
          <t>ENQ_AMT_L6CM</t>
        </is>
      </c>
      <c r="B16" s="44" t="n">
        <v>120</v>
      </c>
    </row>
    <row r="17" ht="15" customHeight="1" s="31">
      <c r="A17" s="39" t="inlineStr">
        <is>
          <t>MAX_ENQUIRYAMOUNT</t>
        </is>
      </c>
      <c r="B17" s="43" t="n">
        <v>119</v>
      </c>
    </row>
    <row r="18" ht="15" customHeight="1" s="31">
      <c r="A18" s="41" t="inlineStr">
        <is>
          <t>MIN_ENQUIRYAMOUNT</t>
        </is>
      </c>
      <c r="B18" s="44" t="n">
        <v>118</v>
      </c>
    </row>
    <row r="19" ht="15" customHeight="1" s="31">
      <c r="A19" s="39" t="inlineStr">
        <is>
          <t>MAX_EMI</t>
        </is>
      </c>
      <c r="B19" s="43" t="n">
        <v>116</v>
      </c>
    </row>
    <row r="20" ht="15" customHeight="1" s="31">
      <c r="A20" s="41" t="inlineStr">
        <is>
          <t>MAX_EMI_SERVED_MOB_6_12</t>
        </is>
      </c>
      <c r="B20" s="44" t="n">
        <v>113</v>
      </c>
    </row>
    <row r="21" ht="15" customHeight="1" s="31">
      <c r="A21" s="39" t="inlineStr">
        <is>
          <t>ENQ_AMT_L6_12CM</t>
        </is>
      </c>
      <c r="B21" s="43" t="n">
        <v>112</v>
      </c>
    </row>
    <row r="22" ht="15" customHeight="1" s="31">
      <c r="A22" s="41" t="inlineStr">
        <is>
          <t>MAX_EMI_SERVED_MOB_0_6</t>
        </is>
      </c>
      <c r="B22" s="44" t="n">
        <v>111</v>
      </c>
    </row>
    <row r="23" ht="15" customHeight="1" s="31">
      <c r="A23" s="39" t="inlineStr">
        <is>
          <t>TOTAL_EMI</t>
        </is>
      </c>
      <c r="B23" s="43" t="n">
        <v>109</v>
      </c>
    </row>
    <row r="24" ht="15" customHeight="1" s="31">
      <c r="A24" s="41" t="inlineStr">
        <is>
          <t>ENQ_AMT_ON_US</t>
        </is>
      </c>
      <c r="B24" s="44" t="n">
        <v>108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0" min="1" max="1"/>
    <col width="21" customWidth="1" style="30" min="2" max="2"/>
    <col width="13" customWidth="1" style="30" min="3" max="3"/>
    <col width="12" customWidth="1" style="30" min="4" max="4"/>
    <col width="18" customWidth="1" style="30" min="5" max="5"/>
    <col width="12" customWidth="1" style="30" min="6" max="9"/>
    <col width="60" customWidth="1" style="30" min="10" max="10"/>
  </cols>
  <sheetData>
    <row r="1" ht="16.15" customHeight="1" s="31">
      <c r="A1" s="32" t="inlineStr">
        <is>
          <t>Evaluation metric and the iteration ladder</t>
        </is>
      </c>
    </row>
    <row r="2" ht="15" customHeight="1" s="31">
      <c r="A2" s="33" t="inlineStr">
        <is>
          <t>The brief states three weighted criteria but not how a ratio becomes a score. Our formula is stated below and applied identically to every iteration.</t>
        </is>
      </c>
    </row>
    <row r="4" ht="15" customHeight="1" s="31">
      <c r="A4" s="34" t="inlineStr">
        <is>
          <t>SCORING FORMULA</t>
        </is>
      </c>
    </row>
    <row r="5" ht="15" customHeight="1" s="31">
      <c r="A5" s="51" t="inlineStr">
        <is>
          <t>R = mean(proposed offer) / mean(existing offer), computed within the cohort named by each criterion.</t>
        </is>
      </c>
    </row>
    <row r="6" ht="15" customHeight="1" s="31">
      <c r="A6" s="51" t="inlineStr">
        <is>
          <t>Criterion 1 (weight 30%) — overall, proposed should be higher or similar:  score = 100 if R &gt;= 0.98, else 100 x max(0, 1 - (0.98 - R) / 0.20)</t>
        </is>
      </c>
    </row>
    <row r="7" ht="15" customHeight="1" s="31">
      <c r="A7" s="51" t="inlineStr">
        <is>
          <t>Criterion 2 (weight 40%) — riskier customers, proposed should be lower:     score = 100 x min(1, (1 - R) / 0.25)</t>
        </is>
      </c>
    </row>
    <row r="8" ht="15" customHeight="1" s="31">
      <c r="A8" s="51" t="inlineStr">
        <is>
          <t>Criterion 3 (weight 30%) — customers who took the loan, not lower:          score = same shape as Criterion 1</t>
        </is>
      </c>
    </row>
    <row r="9" ht="15" customHeight="1" s="31">
      <c r="A9" s="51" t="inlineStr">
        <is>
          <t>"Riskier" = RISK_EVENT_RECENT_VINTAGE = 1, as the data dictionary directs. Total = 0.30 x C1 + 0.40 x C2 + 0.30 x C3.</t>
        </is>
      </c>
    </row>
    <row r="10" ht="15" customHeight="1" s="31">
      <c r="A10" s="51" t="inlineStr">
        <is>
          <t>All scores are computed out-of-fold: the risk percentile driving each offer never saw that customer during training.</t>
        </is>
      </c>
    </row>
    <row r="12" ht="15" customHeight="1" s="31">
      <c r="A12" s="38" t="inlineStr">
        <is>
          <t>Iteration</t>
        </is>
      </c>
      <c r="B12" s="38" t="inlineStr">
        <is>
          <t>Avg proposed (Rs)</t>
        </is>
      </c>
      <c r="C12" s="38" t="inlineStr">
        <is>
          <t>R overall</t>
        </is>
      </c>
      <c r="D12" s="38" t="inlineStr">
        <is>
          <t>R risky</t>
        </is>
      </c>
      <c r="E12" s="38" t="inlineStr">
        <is>
          <t>R clean takers</t>
        </is>
      </c>
      <c r="F12" s="38" t="inlineStr">
        <is>
          <t>C1</t>
        </is>
      </c>
      <c r="G12" s="38" t="inlineStr">
        <is>
          <t>C2</t>
        </is>
      </c>
      <c r="H12" s="38" t="inlineStr">
        <is>
          <t>C3</t>
        </is>
      </c>
      <c r="I12" s="38" t="inlineStr">
        <is>
          <t>Score</t>
        </is>
      </c>
      <c r="J12" s="38" t="inlineStr">
        <is>
          <t>Design note</t>
        </is>
      </c>
    </row>
    <row r="13" ht="15" customHeight="1" s="31">
      <c r="A13" s="39" t="inlineStr">
        <is>
          <t>I0  Incumbent TVS logic</t>
        </is>
      </c>
      <c r="B13" s="43" t="n">
        <v>173553.938</v>
      </c>
      <c r="C13" s="40" t="n">
        <v>1</v>
      </c>
      <c r="D13" s="40" t="n">
        <v>1</v>
      </c>
      <c r="E13" s="40" t="n">
        <v>1</v>
      </c>
      <c r="F13" s="45" t="n">
        <v>100</v>
      </c>
      <c r="G13" s="45" t="n">
        <v>0</v>
      </c>
      <c r="H13" s="45" t="n">
        <v>100</v>
      </c>
      <c r="I13" s="45" t="n">
        <v>60</v>
      </c>
      <c r="J13" s="39" t="inlineStr">
        <is>
          <t>Benchmark. Risk-graded but affordability-blind.</t>
        </is>
      </c>
    </row>
    <row r="14" ht="15" customHeight="1" s="31">
      <c r="A14" s="41" t="inlineStr">
        <is>
          <t>I1  Affordability cap only</t>
        </is>
      </c>
      <c r="B14" s="44" t="n">
        <v>99831.18799999999</v>
      </c>
      <c r="C14" s="42" t="n">
        <v>0.575</v>
      </c>
      <c r="D14" s="42" t="n">
        <v>0.512</v>
      </c>
      <c r="E14" s="42" t="n">
        <v>0.576</v>
      </c>
      <c r="F14" s="46" t="n">
        <v>0</v>
      </c>
      <c r="G14" s="46" t="n">
        <v>100</v>
      </c>
      <c r="H14" s="46" t="n">
        <v>0</v>
      </c>
      <c r="I14" s="46" t="n">
        <v>40</v>
      </c>
      <c r="J14" s="41" t="inlineStr">
        <is>
          <t>Demonstrated EMI headroom x annuity factor.</t>
        </is>
      </c>
    </row>
    <row r="15" ht="15" customHeight="1" s="31">
      <c r="A15" s="39" t="inlineStr">
        <is>
          <t>I2  max(affordability, incumbent)</t>
        </is>
      </c>
      <c r="B15" s="43" t="n">
        <v>195184.083</v>
      </c>
      <c r="C15" s="40" t="n">
        <v>1.125</v>
      </c>
      <c r="D15" s="40" t="n">
        <v>1.055</v>
      </c>
      <c r="E15" s="40" t="n">
        <v>1.125</v>
      </c>
      <c r="F15" s="45" t="n">
        <v>100</v>
      </c>
      <c r="G15" s="45" t="n">
        <v>0</v>
      </c>
      <c r="H15" s="45" t="n">
        <v>100</v>
      </c>
      <c r="I15" s="45" t="n">
        <v>60</v>
      </c>
      <c r="J15" s="39" t="inlineStr">
        <is>
          <t>Naive "give more" reading of the brief.</t>
        </is>
      </c>
    </row>
    <row r="16" ht="15" customHeight="1" s="31">
      <c r="A16" s="41" t="inlineStr">
        <is>
          <t>I3  Risk multiplier on incumbent</t>
        </is>
      </c>
      <c r="B16" s="44" t="n">
        <v>187449.04</v>
      </c>
      <c r="C16" s="42" t="n">
        <v>1.08</v>
      </c>
      <c r="D16" s="42" t="n">
        <v>0.999</v>
      </c>
      <c r="E16" s="42" t="n">
        <v>1.081</v>
      </c>
      <c r="F16" s="46" t="n">
        <v>100</v>
      </c>
      <c r="G16" s="46" t="n">
        <v>0.415</v>
      </c>
      <c r="H16" s="46" t="n">
        <v>100</v>
      </c>
      <c r="I16" s="46" t="n">
        <v>60.166</v>
      </c>
      <c r="J16" s="41" t="inlineStr">
        <is>
          <t>Risk tiering, no affordability input.</t>
        </is>
      </c>
    </row>
    <row r="17" ht="15" customHeight="1" s="31">
      <c r="A17" s="39" t="inlineStr">
        <is>
          <t>I4  Affordability anchor x risk tier</t>
        </is>
      </c>
      <c r="B17" s="43" t="n">
        <v>175223.372</v>
      </c>
      <c r="C17" s="40" t="n">
        <v>1.01</v>
      </c>
      <c r="D17" s="40" t="n">
        <v>0.878</v>
      </c>
      <c r="E17" s="40" t="n">
        <v>1.011</v>
      </c>
      <c r="F17" s="45" t="n">
        <v>100</v>
      </c>
      <c r="G17" s="45" t="n">
        <v>48.974</v>
      </c>
      <c r="H17" s="45" t="n">
        <v>100</v>
      </c>
      <c r="I17" s="45" t="n">
        <v>79.589</v>
      </c>
      <c r="J17" s="39" t="inlineStr">
        <is>
          <t>Blend + tier. No-headroom customers fall back to incumbent.</t>
        </is>
      </c>
    </row>
    <row r="18" ht="15" customHeight="1" s="31">
      <c r="A18" s="41" t="inlineStr">
        <is>
          <t>I5  FINAL: calibrated tier grid</t>
        </is>
      </c>
      <c r="B18" s="44" t="n">
        <v>176374.268</v>
      </c>
      <c r="C18" s="42" t="n">
        <v>1.016</v>
      </c>
      <c r="D18" s="42" t="n">
        <v>0.878</v>
      </c>
      <c r="E18" s="42" t="n">
        <v>1.018</v>
      </c>
      <c r="F18" s="46" t="n">
        <v>100</v>
      </c>
      <c r="G18" s="46" t="n">
        <v>48.939</v>
      </c>
      <c r="H18" s="46" t="n">
        <v>100</v>
      </c>
      <c r="I18" s="46" t="n">
        <v>79.575</v>
      </c>
      <c r="J18" s="41" t="inlineStr">
        <is>
          <t>Deeper cut at the top risk decile, wider uplift for the safest half.</t>
        </is>
      </c>
    </row>
    <row r="19" ht="15" customHeight="1" s="31">
      <c r="A19" s="49" t="inlineStr">
        <is>
          <t>I6  FINAL: constrained optimum</t>
        </is>
      </c>
      <c r="B19" s="52" t="n">
        <v>174164.749290744</v>
      </c>
      <c r="C19" s="50" t="n">
        <v>1.00351943326081</v>
      </c>
      <c r="D19" s="50" t="n">
        <v>0.814843614752662</v>
      </c>
      <c r="E19" s="50" t="n">
        <v>1.00558913162108</v>
      </c>
      <c r="F19" s="53" t="n">
        <v>100</v>
      </c>
      <c r="G19" s="53" t="n">
        <v>74.06255409893519</v>
      </c>
      <c r="H19" s="53" t="n">
        <v>100</v>
      </c>
      <c r="I19" s="53" t="n">
        <v>89.6250216395741</v>
      </c>
      <c r="J19" s="49" t="inlineStr">
        <is>
          <t>Criteria 1 and 3 imposed as hard constraints (ratio &gt;= 1.00); criterion 2 maximised subject to them.</t>
        </is>
      </c>
    </row>
    <row r="21" ht="15" customHeight="1" s="31">
      <c r="A21" s="33" t="inlineStr">
        <is>
          <t>I1 shows why "just lend more" fails and why "affordability only" fails: each satisfies one criterion by sacrificing the others.</t>
        </is>
      </c>
    </row>
    <row r="22" ht="15" customHeight="1" s="31">
      <c r="A22" s="33" t="inlineStr">
        <is>
          <t>The final policy is a redistribution, not an inflation — the same rupees, moved toward demonstrated capacity.</t>
        </is>
      </c>
    </row>
    <row r="23" ht="15" customHeight="1" s="31">
      <c r="A23" s="33" t="inlineStr">
        <is>
          <t>Bootstrap 95% confidence interval on the final score: 78.1 to 99.3 (500 resamples of the build cohort).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30" min="1" max="1"/>
    <col width="26" customWidth="1" style="30" min="2" max="2"/>
    <col width="18" customWidth="1" style="30" min="3" max="3"/>
    <col width="12" customWidth="1" style="30" min="4" max="4"/>
  </cols>
  <sheetData>
    <row r="1" ht="16.15" customHeight="1" s="31">
      <c r="A1" s="32" t="inlineStr">
        <is>
          <t>Sensitivity of the final score</t>
        </is>
      </c>
    </row>
    <row r="2" ht="15" customHeight="1" s="31">
      <c r="A2" s="33" t="inlineStr">
        <is>
          <t>Score recomputed across the multiplier grid and across the pricing assumption behind the annuity factor. Final policy: floor 0.30, ceiling 1.55.</t>
        </is>
      </c>
    </row>
    <row r="4" ht="15" customHeight="1" s="31">
      <c r="A4" s="38" t="inlineStr">
        <is>
          <t>Multiplier floor</t>
        </is>
      </c>
      <c r="B4" s="38" t="inlineStr">
        <is>
          <t>Multiplier ceiling</t>
        </is>
      </c>
      <c r="C4" s="38" t="inlineStr">
        <is>
          <t>Score</t>
        </is>
      </c>
    </row>
    <row r="5" ht="15" customHeight="1" s="31">
      <c r="A5" s="54" t="n">
        <v>0.3</v>
      </c>
      <c r="B5" s="54" t="n">
        <v>1.15</v>
      </c>
      <c r="C5" s="45" t="n">
        <v>49.61</v>
      </c>
    </row>
    <row r="6" ht="15" customHeight="1" s="31">
      <c r="A6" s="55" t="n">
        <v>0.3</v>
      </c>
      <c r="B6" s="55" t="n">
        <v>1.25</v>
      </c>
      <c r="C6" s="46" t="n">
        <v>64.25</v>
      </c>
    </row>
    <row r="7" ht="15" customHeight="1" s="31">
      <c r="A7" s="54" t="n">
        <v>0.3</v>
      </c>
      <c r="B7" s="54" t="n">
        <v>1.35</v>
      </c>
      <c r="C7" s="45" t="n">
        <v>78.78</v>
      </c>
    </row>
    <row r="8" ht="15" customHeight="1" s="31">
      <c r="A8" s="55" t="n">
        <v>0.3</v>
      </c>
      <c r="B8" s="55" t="n">
        <v>1.45</v>
      </c>
      <c r="C8" s="46" t="n">
        <v>89.12</v>
      </c>
    </row>
    <row r="9" ht="15" customHeight="1" s="31">
      <c r="A9" s="54" t="n">
        <v>0.3</v>
      </c>
      <c r="B9" s="54" t="n">
        <v>1.55</v>
      </c>
      <c r="C9" s="45" t="n">
        <v>89.63</v>
      </c>
    </row>
    <row r="10" ht="15" customHeight="1" s="31">
      <c r="A10" s="55" t="n">
        <v>0.4</v>
      </c>
      <c r="B10" s="55" t="n">
        <v>1.15</v>
      </c>
      <c r="C10" s="46" t="n">
        <v>60.38</v>
      </c>
    </row>
    <row r="11" ht="15" customHeight="1" s="31">
      <c r="A11" s="54" t="n">
        <v>0.4</v>
      </c>
      <c r="B11" s="54" t="n">
        <v>1.25</v>
      </c>
      <c r="C11" s="45" t="n">
        <v>75.08</v>
      </c>
    </row>
    <row r="12" ht="15" customHeight="1" s="31">
      <c r="A12" s="55" t="n">
        <v>0.4</v>
      </c>
      <c r="B12" s="55" t="n">
        <v>1.35</v>
      </c>
      <c r="C12" s="46" t="n">
        <v>84.90000000000001</v>
      </c>
    </row>
    <row r="13" ht="15" customHeight="1" s="31">
      <c r="A13" s="54" t="n">
        <v>0.4</v>
      </c>
      <c r="B13" s="54" t="n">
        <v>1.45</v>
      </c>
      <c r="C13" s="45" t="n">
        <v>88.81</v>
      </c>
    </row>
    <row r="14" ht="15" customHeight="1" s="31">
      <c r="A14" s="55" t="n">
        <v>0.4</v>
      </c>
      <c r="B14" s="55" t="n">
        <v>1.55</v>
      </c>
      <c r="C14" s="46" t="n">
        <v>82.42</v>
      </c>
    </row>
    <row r="15" ht="15" customHeight="1" s="31">
      <c r="A15" s="54" t="n">
        <v>0.5</v>
      </c>
      <c r="B15" s="54" t="n">
        <v>1.15</v>
      </c>
      <c r="C15" s="45" t="n">
        <v>71.54000000000001</v>
      </c>
    </row>
    <row r="16" ht="15" customHeight="1" s="31">
      <c r="A16" s="55" t="n">
        <v>0.5</v>
      </c>
      <c r="B16" s="55" t="n">
        <v>1.25</v>
      </c>
      <c r="C16" s="46" t="n">
        <v>80.42</v>
      </c>
    </row>
    <row r="17" ht="15" customHeight="1" s="31">
      <c r="A17" s="54" t="n">
        <v>0.5</v>
      </c>
      <c r="B17" s="54" t="n">
        <v>1.35</v>
      </c>
      <c r="C17" s="45" t="n">
        <v>87.66</v>
      </c>
    </row>
    <row r="18" ht="15" customHeight="1" s="31">
      <c r="A18" s="55" t="n">
        <v>0.5</v>
      </c>
      <c r="B18" s="55" t="n">
        <v>1.45</v>
      </c>
      <c r="C18" s="46" t="n">
        <v>81.18000000000001</v>
      </c>
    </row>
    <row r="19" ht="15" customHeight="1" s="31">
      <c r="A19" s="54" t="n">
        <v>0.5</v>
      </c>
      <c r="B19" s="54" t="n">
        <v>1.55</v>
      </c>
      <c r="C19" s="45" t="n">
        <v>74.77</v>
      </c>
    </row>
    <row r="20" ht="15" customHeight="1" s="31">
      <c r="A20" s="55" t="n">
        <v>0.6</v>
      </c>
      <c r="B20" s="55" t="n">
        <v>1.15</v>
      </c>
      <c r="C20" s="46" t="n">
        <v>75.73</v>
      </c>
    </row>
    <row r="21" ht="15" customHeight="1" s="31">
      <c r="A21" s="54" t="n">
        <v>0.6</v>
      </c>
      <c r="B21" s="54" t="n">
        <v>1.25</v>
      </c>
      <c r="C21" s="45" t="n">
        <v>84</v>
      </c>
    </row>
    <row r="22" ht="15" customHeight="1" s="31">
      <c r="A22" s="55" t="n">
        <v>0.6</v>
      </c>
      <c r="B22" s="55" t="n">
        <v>1.35</v>
      </c>
      <c r="C22" s="46" t="n">
        <v>79.70999999999999</v>
      </c>
    </row>
    <row r="23" ht="15" customHeight="1" s="31">
      <c r="A23" s="54" t="n">
        <v>0.6</v>
      </c>
      <c r="B23" s="54" t="n">
        <v>1.45</v>
      </c>
      <c r="C23" s="45" t="n">
        <v>73.19</v>
      </c>
    </row>
    <row r="24" ht="15" customHeight="1" s="31">
      <c r="A24" s="55" t="n">
        <v>0.6</v>
      </c>
      <c r="B24" s="55" t="n">
        <v>1.55</v>
      </c>
      <c r="C24" s="46" t="n">
        <v>66.75</v>
      </c>
    </row>
    <row r="25" ht="15" customHeight="1" s="31">
      <c r="A25" s="54" t="n">
        <v>0.7</v>
      </c>
      <c r="B25" s="54" t="n">
        <v>1.15</v>
      </c>
      <c r="C25" s="45" t="n">
        <v>79.25</v>
      </c>
    </row>
    <row r="26" ht="15" customHeight="1" s="31">
      <c r="A26" s="55" t="n">
        <v>0.7</v>
      </c>
      <c r="B26" s="55" t="n">
        <v>1.25</v>
      </c>
      <c r="C26" s="46" t="n">
        <v>77.94</v>
      </c>
    </row>
    <row r="27" ht="15" customHeight="1" s="31">
      <c r="A27" s="54" t="n">
        <v>0.7</v>
      </c>
      <c r="B27" s="54" t="n">
        <v>1.35</v>
      </c>
      <c r="C27" s="45" t="n">
        <v>71.40000000000001</v>
      </c>
    </row>
    <row r="28" ht="15" customHeight="1" s="31">
      <c r="A28" s="55" t="n">
        <v>0.7</v>
      </c>
      <c r="B28" s="55" t="n">
        <v>1.45</v>
      </c>
      <c r="C28" s="46" t="n">
        <v>64.86</v>
      </c>
    </row>
    <row r="29" ht="15" customHeight="1" s="31">
      <c r="A29" s="54" t="n">
        <v>0.7</v>
      </c>
      <c r="B29" s="54" t="n">
        <v>1.55</v>
      </c>
      <c r="C29" s="45" t="n">
        <v>60</v>
      </c>
    </row>
    <row r="31" ht="15" customHeight="1" s="31">
      <c r="A31" s="33" t="inlineStr">
        <is>
          <t>Across the 25-point grid the score ranges 49.6 to 89.6, median 77.9. The chosen corner is the optimum, so the floor of this range</t>
        </is>
      </c>
    </row>
    <row r="32" ht="15" customHeight="1" s="31">
      <c r="A32" s="33" t="inlineStr">
        <is>
          <t>is a deliberately bad parameter choice, not evidence of instability. The relevant test is the pricing assumption below.</t>
        </is>
      </c>
    </row>
    <row r="34" ht="15" customHeight="1" s="31">
      <c r="A34" s="38" t="inlineStr">
        <is>
          <t>Assumed IRR</t>
        </is>
      </c>
      <c r="B34" s="38" t="inlineStr">
        <is>
          <t>Assumed tenor (months)</t>
        </is>
      </c>
      <c r="C34" s="38" t="inlineStr">
        <is>
          <t>Annuity factor</t>
        </is>
      </c>
      <c r="D34" s="38" t="inlineStr">
        <is>
          <t>Score</t>
        </is>
      </c>
    </row>
    <row r="35" ht="15" customHeight="1" s="31">
      <c r="A35" s="39" t="inlineStr">
        <is>
          <t>20%</t>
        </is>
      </c>
      <c r="B35" s="39" t="n">
        <v>36</v>
      </c>
      <c r="C35" s="45" t="n">
        <v>26.9</v>
      </c>
      <c r="D35" s="45" t="n">
        <v>88.8</v>
      </c>
    </row>
    <row r="36" ht="15" customHeight="1" s="31">
      <c r="A36" s="41" t="inlineStr">
        <is>
          <t>24%</t>
        </is>
      </c>
      <c r="B36" s="41" t="n">
        <v>24</v>
      </c>
      <c r="C36" s="46" t="n">
        <v>18.9</v>
      </c>
      <c r="D36" s="46" t="n">
        <v>93.40000000000001</v>
      </c>
    </row>
    <row r="37" ht="15" customHeight="1" s="31">
      <c r="A37" s="39" t="inlineStr">
        <is>
          <t>24%</t>
        </is>
      </c>
      <c r="B37" s="39" t="n">
        <v>36</v>
      </c>
      <c r="C37" s="45" t="n">
        <v>25.5</v>
      </c>
      <c r="D37" s="45" t="n">
        <v>89.59999999999999</v>
      </c>
    </row>
    <row r="38" ht="15" customHeight="1" s="31">
      <c r="A38" s="41" t="inlineStr">
        <is>
          <t>24%</t>
        </is>
      </c>
      <c r="B38" s="41" t="n">
        <v>48</v>
      </c>
      <c r="C38" s="46" t="n">
        <v>30.7</v>
      </c>
      <c r="D38" s="46" t="n">
        <v>86.7</v>
      </c>
    </row>
    <row r="39" ht="15" customHeight="1" s="31">
      <c r="A39" s="39" t="inlineStr">
        <is>
          <t>28%</t>
        </is>
      </c>
      <c r="B39" s="39" t="n">
        <v>36</v>
      </c>
      <c r="C39" s="45" t="n">
        <v>24.2</v>
      </c>
      <c r="D39" s="45" t="n">
        <v>90.40000000000001</v>
      </c>
    </row>
    <row r="41" ht="15" customHeight="1" s="31">
      <c r="A41" s="33" t="inlineStr">
        <is>
          <t>Score stays between 86.7 and 93.4 across every plausible pricing assumption. The result does not depend on getting the rate right.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0" min="1" max="1"/>
    <col width="18" customWidth="1" style="30" min="2" max="3"/>
    <col width="12" customWidth="1" style="30" min="4" max="4"/>
    <col width="27" customWidth="1" style="30" min="5" max="5"/>
    <col width="15" customWidth="1" style="30" min="6" max="6"/>
    <col width="24" customWidth="1" style="30" min="7" max="7"/>
    <col width="14" customWidth="1" style="30" min="8" max="8"/>
    <col width="15" customWidth="1" style="30" min="9" max="9"/>
  </cols>
  <sheetData>
    <row r="1" ht="16.15" customHeight="1" s="31">
      <c r="A1" s="32" t="inlineStr">
        <is>
          <t>Deliverable table: BASE_TYPE = VALIDATION customers who took a personal loan</t>
        </is>
      </c>
    </row>
    <row r="2" ht="15" customHeight="1" s="31">
      <c r="A2" s="33" t="inlineStr">
        <is>
          <t>n = 5,203 customers, 72 risk events. Offers generated by a policy fitted only on the TEST cohort. Percentages below are live formulas.</t>
        </is>
      </c>
    </row>
    <row r="4" ht="15" customHeight="1" s="31">
      <c r="A4" s="38" t="inlineStr">
        <is>
          <t>Quintile</t>
        </is>
      </c>
      <c r="B4" s="38" t="inlineStr">
        <is>
          <t>Min offer (Rs)</t>
        </is>
      </c>
      <c r="C4" s="38" t="inlineStr">
        <is>
          <t>Max offer (Rs)</t>
        </is>
      </c>
      <c r="D4" s="38" t="inlineStr">
        <is>
          <t>Volume</t>
        </is>
      </c>
      <c r="E4" s="38" t="inlineStr">
        <is>
          <t>Avg proposed offer (Rs)</t>
        </is>
      </c>
      <c r="F4" s="38" t="inlineStr">
        <is>
          <t>Risk events</t>
        </is>
      </c>
      <c r="G4" s="38" t="inlineStr">
        <is>
          <t>% Ever 30 in MOB 1-6</t>
        </is>
      </c>
      <c r="H4" s="38" t="inlineStr">
        <is>
          <t>95% CI low</t>
        </is>
      </c>
      <c r="I4" s="38" t="inlineStr">
        <is>
          <t>95% CI high</t>
        </is>
      </c>
    </row>
    <row r="5" ht="15" customHeight="1" s="31">
      <c r="A5" s="39" t="n">
        <v>1</v>
      </c>
      <c r="B5" s="43" t="n">
        <v>40000</v>
      </c>
      <c r="C5" s="43" t="n">
        <v>75940.00999999999</v>
      </c>
      <c r="D5" s="43" t="n">
        <v>1041</v>
      </c>
      <c r="E5" s="43" t="n">
        <v>58284.13</v>
      </c>
      <c r="F5" s="43" t="n">
        <v>23</v>
      </c>
      <c r="G5" s="54">
        <f>IF(D5=0,"",F5/D5*100)</f>
        <v/>
      </c>
      <c r="H5" s="54" t="n">
        <v>1.34</v>
      </c>
      <c r="I5" s="54" t="n">
        <v>3.17</v>
      </c>
    </row>
    <row r="6" ht="15" customHeight="1" s="31">
      <c r="A6" s="41" t="n">
        <v>2</v>
      </c>
      <c r="B6" s="44" t="n">
        <v>75957.42</v>
      </c>
      <c r="C6" s="44" t="n">
        <v>112348.87</v>
      </c>
      <c r="D6" s="44" t="n">
        <v>1040</v>
      </c>
      <c r="E6" s="44" t="n">
        <v>93818.09</v>
      </c>
      <c r="F6" s="44" t="n">
        <v>19</v>
      </c>
      <c r="G6" s="55">
        <f>IF(D6=0,"",F6/D6*100)</f>
        <v/>
      </c>
      <c r="H6" s="55" t="n">
        <v>1.06</v>
      </c>
      <c r="I6" s="55" t="n">
        <v>2.69</v>
      </c>
    </row>
    <row r="7" ht="15" customHeight="1" s="31">
      <c r="A7" s="39" t="n">
        <v>3</v>
      </c>
      <c r="B7" s="43" t="n">
        <v>112360.12</v>
      </c>
      <c r="C7" s="43" t="n">
        <v>149555.02</v>
      </c>
      <c r="D7" s="43" t="n">
        <v>1041</v>
      </c>
      <c r="E7" s="43" t="n">
        <v>130692.15</v>
      </c>
      <c r="F7" s="43" t="n">
        <v>14</v>
      </c>
      <c r="G7" s="54">
        <f>IF(D7=0,"",F7/D7*100)</f>
        <v/>
      </c>
      <c r="H7" s="54" t="n">
        <v>0.67</v>
      </c>
      <c r="I7" s="54" t="n">
        <v>2.11</v>
      </c>
    </row>
    <row r="8" ht="15" customHeight="1" s="31">
      <c r="A8" s="41" t="n">
        <v>4</v>
      </c>
      <c r="B8" s="44" t="n">
        <v>149579.09</v>
      </c>
      <c r="C8" s="44" t="n">
        <v>189322.64</v>
      </c>
      <c r="D8" s="44" t="n">
        <v>1040</v>
      </c>
      <c r="E8" s="44" t="n">
        <v>168982.09</v>
      </c>
      <c r="F8" s="44" t="n">
        <v>8</v>
      </c>
      <c r="G8" s="55">
        <f>IF(D8=0,"",F8/D8*100)</f>
        <v/>
      </c>
      <c r="H8" s="55" t="n">
        <v>0.29</v>
      </c>
      <c r="I8" s="55" t="n">
        <v>1.35</v>
      </c>
    </row>
    <row r="9" ht="15" customHeight="1" s="31">
      <c r="A9" s="39" t="n">
        <v>5</v>
      </c>
      <c r="B9" s="43" t="n">
        <v>189322.83</v>
      </c>
      <c r="C9" s="43" t="n">
        <v>600000</v>
      </c>
      <c r="D9" s="43" t="n">
        <v>1041</v>
      </c>
      <c r="E9" s="43" t="n">
        <v>289008.67</v>
      </c>
      <c r="F9" s="43" t="n">
        <v>8</v>
      </c>
      <c r="G9" s="54">
        <f>IF(D9=0,"",F9/D9*100)</f>
        <v/>
      </c>
      <c r="H9" s="54" t="n">
        <v>0.29</v>
      </c>
      <c r="I9" s="54" t="n">
        <v>1.34</v>
      </c>
    </row>
    <row r="10" ht="15" customHeight="1" s="31">
      <c r="A10" s="49" t="inlineStr">
        <is>
          <t>TOTAL</t>
        </is>
      </c>
      <c r="B10" s="49" t="n"/>
      <c r="C10" s="49" t="n"/>
      <c r="D10" s="52">
        <f>SUM(D5:D9)</f>
        <v/>
      </c>
      <c r="E10" s="52">
        <f>SUMPRODUCT(D5:D9,E5:E9)/D10</f>
        <v/>
      </c>
      <c r="F10" s="52">
        <f>SUM(F5:F9)</f>
        <v/>
      </c>
      <c r="G10" s="56">
        <f>F10/D10*100</f>
        <v/>
      </c>
    </row>
    <row r="12" ht="15" customHeight="1" s="31">
      <c r="A12" s="33" t="inlineStr">
        <is>
          <t>Risk falls monotonically from 2.21% in the lowest offer quintile to 0.77% in the highest — a 2.9x gradient.</t>
        </is>
      </c>
    </row>
    <row r="13" ht="15" customHeight="1" s="31">
      <c r="A13" s="33" t="inlineStr">
        <is>
          <t>Spearman correlation between proposed offer and risk event: -0.0518 (p = 0.00019). The ordering is statistically significant.</t>
        </is>
      </c>
    </row>
    <row r="14" ht="15" customHeight="1" s="31">
      <c r="A14" s="57" t="inlineStr">
        <is>
          <t>Confidence intervals are 4,000-sample bootstraps. With 72 events in total the intervals are wide, and adjacent quintiles overlap.</t>
        </is>
      </c>
    </row>
    <row r="15" ht="15" customHeight="1" s="31">
      <c r="A15" s="57" t="inlineStr">
        <is>
          <t>The defensible claim is the monotone gradient across the full range, not a significant difference between any two neighbouring quintiles.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0" min="1" max="1"/>
    <col width="90" customWidth="1" style="30" min="2" max="2"/>
  </cols>
  <sheetData>
    <row r="1" ht="16.15" customHeight="1" s="31">
      <c r="A1" s="32" t="inlineStr">
        <is>
          <t>Assumptions, and where each one comes from</t>
        </is>
      </c>
    </row>
    <row r="4" ht="15" customHeight="1" s="31">
      <c r="A4" s="38" t="inlineStr">
        <is>
          <t>Assumption</t>
        </is>
      </c>
      <c r="B4" s="38" t="inlineStr">
        <is>
          <t>Source / justification</t>
        </is>
      </c>
    </row>
    <row r="5" ht="15" customHeight="1" s="31">
      <c r="A5" s="39" t="inlineStr">
        <is>
          <t>Offer range Rs 40,000 to Rs 6,00,000</t>
        </is>
      </c>
      <c r="B5" s="39" t="inlineStr">
        <is>
          <t>Stated in the data dictionary comments ("The new loan amount can be within 40K to 6L").</t>
        </is>
      </c>
    </row>
    <row r="6" ht="15" customHeight="1" s="31">
      <c r="A6" s="41" t="inlineStr">
        <is>
          <t>Pricing for the annuity factor: 24% p.a. over 36 months (factor 25.49)</t>
        </is>
      </c>
      <c r="B6" s="41" t="inlineStr">
        <is>
          <t>Consistent with unsecured NBFC personal-loan pricing. Sensitivity to this assumption is quantified on sheet 6.</t>
        </is>
      </c>
    </row>
    <row r="7" ht="15" customHeight="1" s="31">
      <c r="A7" s="39" t="inlineStr">
        <is>
          <t>Demonstrated capacity = max EMI ever serviced across all MOB bands</t>
        </is>
      </c>
      <c r="B7" s="39" t="inlineStr">
        <is>
          <t>Fields MAX_EMI_SERVED_MOB_0_6 through MOB_24_48. The strongest evidence of repayment capacity available in the file.</t>
        </is>
      </c>
    </row>
    <row r="8" ht="15" customHeight="1" s="31">
      <c r="A8" s="41" t="inlineStr">
        <is>
          <t>EMI headroom = demonstrated capacity less current live EMI, floored at zero</t>
        </is>
      </c>
      <c r="B8" s="41" t="inlineStr">
        <is>
          <t>Field LIVE_EMI. Prevents crediting capacity that is already committed elsewhere.</t>
        </is>
      </c>
    </row>
    <row r="9" ht="15" customHeight="1" s="31">
      <c r="A9" s="39" t="inlineStr">
        <is>
          <t>Affordability weight in the anchor = 0.25</t>
        </is>
      </c>
      <c r="B9" s="39" t="inlineStr">
        <is>
          <t>Chosen by constrained grid search on the build cohort, not by hand.</t>
        </is>
      </c>
    </row>
    <row r="10" ht="15" customHeight="1" s="31">
      <c r="A10" s="41" t="inlineStr">
        <is>
          <t>Risk multiplier = 0.30 + 1.25 x (1 - risk percentile)</t>
        </is>
      </c>
      <c r="B10" s="41" t="inlineStr">
        <is>
          <t>Floor, ceiling and curvature chosen by the same constrained search over 1,219 feasible grid points.</t>
        </is>
      </c>
    </row>
    <row r="11" ht="15" customHeight="1" s="31">
      <c r="A11" s="39" t="inlineStr">
        <is>
          <t>Customers with no demonstrated headroom fall back to the incumbent offer</t>
        </is>
      </c>
      <c r="B11" s="39" t="inlineStr">
        <is>
          <t>40.6% of customers show no headroom. Falling back is conservative; inventing capacity would not be.</t>
        </is>
      </c>
    </row>
    <row r="12" ht="15" customHeight="1" s="31">
      <c r="A12" s="41" t="inlineStr">
        <is>
          <t>"Riskier customer" = RISK_EVENT_RECENT_VINTAGE = 1</t>
        </is>
      </c>
      <c r="B12" s="41" t="inlineStr">
        <is>
          <t>Data dictionary: "RISK_EVENT_RECENT_VINTAGE to be used for identifying on-us high risk customers".</t>
        </is>
      </c>
    </row>
    <row r="13" ht="15" customHeight="1" s="31">
      <c r="A13" s="39" t="inlineStr">
        <is>
          <t>Scoring tolerances: 2% for "similar", 25% cut for full credit on criterion 2</t>
        </is>
      </c>
      <c r="B13" s="39" t="inlineStr">
        <is>
          <t>Our operationalisation. The brief gives weights but no scoring function; the formula is stated on sheet 5.</t>
        </is>
      </c>
    </row>
    <row r="15" ht="15" customHeight="1" s="31">
      <c r="A15" s="58" t="inlineStr">
        <is>
          <t>Fields excluded from the offer logic on the data dictionary's explicit instruction: the six risk-event flags, CATEGORY_NEW,</t>
        </is>
      </c>
    </row>
    <row r="16" ht="15" customHeight="1" s="31">
      <c r="A16" s="58" t="inlineStr">
        <is>
          <t>BEST OUTCOME, BEST OUTCOME Remarks and LAST OUTCOME. 114 of 128 columns remain available to the model.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2026-09-06T12:48:43Z</dcterms:created>
  <dcterms:modified xmlns:dcterms="http://purl.org/dc/terms/" xmlns:xsi="http://www.w3.org/2001/XMLSchema-instance" xsi:type="dcterms:W3CDTF">2026-09-28T05:42:58Z</dcterms:modified>
  <cp:revision>0</cp:revision>
</cp:coreProperties>
</file>